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MRL_2026\Dashboard\"/>
    </mc:Choice>
  </mc:AlternateContent>
  <xr:revisionPtr revIDLastSave="0" documentId="13_ncr:1_{749CD15D-8616-4C92-95AB-EC550940AD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ll Status'26" sheetId="1" r:id="rId1"/>
  </sheets>
  <definedNames>
    <definedName name="_xlnm._FilterDatabase" localSheetId="0" hidden="1">'Bill Status''26'!$A$1:$O$35</definedName>
  </definedNames>
  <calcPr calcId="191029"/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<sst xmlns="http://schemas.openxmlformats.org/spreadsheetml/2006/main" count="217" uniqueCount="108">
  <si>
    <t>S.N</t>
  </si>
  <si>
    <t>Efile No</t>
  </si>
  <si>
    <t>Company</t>
  </si>
  <si>
    <t>Description</t>
  </si>
  <si>
    <t>Start Date</t>
  </si>
  <si>
    <t>End Date</t>
  </si>
  <si>
    <t>Days Left</t>
  </si>
  <si>
    <t>Duration</t>
  </si>
  <si>
    <t>Contract No</t>
  </si>
  <si>
    <t>Value</t>
  </si>
  <si>
    <t>Handle By</t>
  </si>
  <si>
    <t>Escalation Metrix</t>
  </si>
  <si>
    <t>Frequency</t>
  </si>
  <si>
    <t>Jan'26</t>
  </si>
  <si>
    <t>Remarks</t>
  </si>
  <si>
    <t>Feb'26</t>
  </si>
  <si>
    <t>Mar'26</t>
  </si>
  <si>
    <t>Apr'26</t>
  </si>
  <si>
    <t>May'26</t>
  </si>
  <si>
    <t>June'26</t>
  </si>
  <si>
    <t>July'26</t>
  </si>
  <si>
    <t>Aug'26</t>
  </si>
  <si>
    <t>Sep'26</t>
  </si>
  <si>
    <t>Oct'6</t>
  </si>
  <si>
    <t>Nov'26</t>
  </si>
  <si>
    <t>Dec'26</t>
  </si>
  <si>
    <t>ARMTECH</t>
  </si>
  <si>
    <t>FMS - IT Support</t>
  </si>
  <si>
    <t>3YRS</t>
  </si>
  <si>
    <t>GEMC-511687795705388</t>
  </si>
  <si>
    <t>Sravani/Muthu</t>
  </si>
  <si>
    <t>MONTHLY</t>
  </si>
  <si>
    <t>PENDING</t>
  </si>
  <si>
    <t>Microsoft</t>
  </si>
  <si>
    <r>
      <t xml:space="preserve">AZURE Cloud Services
</t>
    </r>
    <r>
      <rPr>
        <sz val="8"/>
        <color theme="3" tint="0.499984740745262"/>
        <rFont val="Cambria"/>
      </rPr>
      <t>Continued Services No contract</t>
    </r>
  </si>
  <si>
    <t>1YR</t>
  </si>
  <si>
    <t>NA</t>
  </si>
  <si>
    <t>6,00,000 Approx.(Without GST)</t>
  </si>
  <si>
    <t>PAID</t>
  </si>
  <si>
    <t>Rs. 6,49,696 /-</t>
  </si>
  <si>
    <t>CANON</t>
  </si>
  <si>
    <t>CAMC of Multifunctional floor printers(3No's)</t>
  </si>
  <si>
    <t>Muthu</t>
  </si>
  <si>
    <t>Premium Printers</t>
  </si>
  <si>
    <t>Multi-Function Printers 
HP Laser Jet MFP 72630- 3M/CS</t>
  </si>
  <si>
    <t>Digitek Business Machines</t>
  </si>
  <si>
    <t>Multi-Function Printers on rental basis</t>
  </si>
  <si>
    <t>Rs. 20,724 /-</t>
  </si>
  <si>
    <t>Website Hi-Tech</t>
  </si>
  <si>
    <t>Website Maintenance</t>
  </si>
  <si>
    <t>-</t>
  </si>
  <si>
    <t>QUARTERLY</t>
  </si>
  <si>
    <t>NIC</t>
  </si>
  <si>
    <t>CPPP &amp; E-OFFICE Support</t>
  </si>
  <si>
    <t>Sravani</t>
  </si>
  <si>
    <t>Bharat IT Services</t>
  </si>
  <si>
    <t>IT Assets- AMC</t>
  </si>
  <si>
    <t>GEMC-511687784471870</t>
  </si>
  <si>
    <t>ITECH</t>
  </si>
  <si>
    <t>Website- AMC</t>
  </si>
  <si>
    <t>GEMC-511687787304039</t>
  </si>
  <si>
    <t>Mobile Application- AMC</t>
  </si>
  <si>
    <t>3Yrs</t>
  </si>
  <si>
    <t>GEMC-511687795682403</t>
  </si>
  <si>
    <t>Gautam</t>
  </si>
  <si>
    <t>AIRTEL</t>
  </si>
  <si>
    <t>Airtel (12th Floor) Broadband Connection -4 Connection to Directors</t>
  </si>
  <si>
    <t>04447760144, 
 04447774166,
 0444616821,
 04447756488.</t>
  </si>
  <si>
    <t>48000(without GST)</t>
  </si>
  <si>
    <t>Airtel 10MBPS, Depot Secondary-ILL</t>
  </si>
  <si>
    <t>CMRL/IT/DEPOT-SECONDARY-ILL/01/2025</t>
  </si>
  <si>
    <t>141600(without GST)</t>
  </si>
  <si>
    <t>JIO</t>
  </si>
  <si>
    <t>JIO 10MBPS CONNECTION -RSAMS</t>
  </si>
  <si>
    <t>1,41,600(without GST)</t>
  </si>
  <si>
    <t>BSNL</t>
  </si>
  <si>
    <t>BSNL 200MBPS-METROS</t>
  </si>
  <si>
    <t>1,18,000(without GST)</t>
  </si>
  <si>
    <t>HALF YEARLY</t>
  </si>
  <si>
    <t>WEB HOSTING</t>
  </si>
  <si>
    <t>3 Months</t>
  </si>
  <si>
    <t>70,611(without GST)</t>
  </si>
  <si>
    <t>Quick Heal</t>
  </si>
  <si>
    <t>Anti virus systems (500 users)</t>
  </si>
  <si>
    <t>PI/C022/004/2023-24/EPROC-5419</t>
  </si>
  <si>
    <t>YEARLY</t>
  </si>
  <si>
    <t>Airtel 200MBPS-METROS</t>
  </si>
  <si>
    <t>GEMC-511687790715143</t>
  </si>
  <si>
    <t>MNC</t>
  </si>
  <si>
    <t>Renewal of Firewall License and support
Checkpoint Certificate</t>
  </si>
  <si>
    <t>CDAC</t>
  </si>
  <si>
    <t>e-SIGN -Continuous Process</t>
  </si>
  <si>
    <t>Rs.2 per sign(without GST)</t>
  </si>
  <si>
    <t>GoDaddy</t>
  </si>
  <si>
    <t>Domain SSL for Chennaimetrorail.org</t>
  </si>
  <si>
    <t>43,998(without GST)</t>
  </si>
  <si>
    <t>Domain SSL for CMRL.IN</t>
  </si>
  <si>
    <t>E-OFFICE License</t>
  </si>
  <si>
    <t>5YRS</t>
  </si>
  <si>
    <t>(Asset taken over from E&amp;M)</t>
  </si>
  <si>
    <t>12th floor AV contract under DLP</t>
  </si>
  <si>
    <t>12th floor Data asset  contract under DLP</t>
  </si>
  <si>
    <t>MetroS G to 6th floor Data Assets under DLP</t>
  </si>
  <si>
    <t>2YRS</t>
  </si>
  <si>
    <t>Xtra trust</t>
  </si>
  <si>
    <t>DSC</t>
  </si>
  <si>
    <t>E-Waste</t>
  </si>
  <si>
    <t>Imprest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</si>
</sst>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b/>
      <sz val="9"/>
      <color theme="0"/>
      <name val="Cambria"/>
    </font>
    <font>
      <sz val="9"/>
      <color theme="1"/>
      <name val="Aptos Narrow"/>
      <scheme val="minor"/>
    </font>
    <font>
      <sz val="9"/>
      <color theme="1"/>
      <name val="Cambria"/>
    </font>
    <font>
      <b/>
      <sz val="9"/>
      <color theme="1"/>
      <name val="Cambria"/>
    </font>
    <font>
      <b/>
      <sz val="9"/>
      <color theme="4"/>
      <name val="Cambria"/>
    </font>
    <font>
      <b/>
      <sz val="10"/>
      <color theme="4"/>
      <name val="Cambria"/>
    </font>
    <font>
      <b/>
      <sz val="9"/>
      <color theme="1"/>
      <name val="Aptos Narrow"/>
      <scheme val="minor"/>
    </font>
    <font>
      <b/>
      <sz val="10"/>
      <color theme="5" tint="-0.249977111117893"/>
      <name val="Cambria"/>
    </font>
    <font>
      <b/>
      <sz val="10"/>
      <color theme="3" tint="0.499984740745262"/>
      <name val="Cambria"/>
    </font>
    <font>
      <b/>
      <sz val="10"/>
      <color theme="9"/>
      <name val="Cambria"/>
    </font>
    <font>
      <sz val="9"/>
      <name val="Cambria"/>
    </font>
    <font>
      <sz val="10"/>
      <name val="Cambria"/>
    </font>
    <font>
      <sz val="8"/>
      <color theme="3" tint="0.499984740745262"/>
      <name val="Cambria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</patternFill>
    </fill>
  </fills>
  <borders count="27">
    <border>
      <left/>
      <right/>
      <top/>
      <bottom/>
      <diagonal/>
    </border>
    <border>
      <left style="medium">
        <color theme="3" tint="0.249977111117893"/>
      </left>
      <right/>
      <top style="thin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medium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medium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 style="thin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thin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/>
      <diagonal/>
    </border>
    <border>
      <left style="medium">
        <color theme="3" tint="0.249977111117893"/>
      </left>
      <right/>
      <top/>
      <bottom style="thin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/>
      <bottom style="thin">
        <color theme="3" tint="0.249977111117893"/>
      </bottom>
      <diagonal/>
    </border>
    <border>
      <left/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/>
      <top/>
      <bottom style="thin">
        <color theme="3" tint="0.249977111117893"/>
      </bottom>
      <diagonal/>
    </border>
    <border>
      <left style="medium">
        <color theme="3" tint="0.249977111117893"/>
      </left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 style="medium">
        <color theme="3" tint="0.249977111117893"/>
      </right>
      <top/>
      <bottom style="thin">
        <color theme="3" tint="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medium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 style="medium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 style="medium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medium">
        <color theme="3" tint="0.249977111117893"/>
      </left>
      <right style="medium">
        <color theme="3" tint="0.249977111117893"/>
      </right>
      <top style="thin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 style="thin">
        <color theme="3" tint="0.249977111117893"/>
      </right>
      <top style="thin">
        <color theme="3" tint="0.249977111117893"/>
      </top>
      <bottom style="medium">
        <color theme="3" tint="0.249977111117893"/>
      </bottom>
      <diagonal/>
    </border>
    <border>
      <left style="thin">
        <color theme="3" tint="0.249977111117893"/>
      </left>
      <right style="medium">
        <color theme="3" tint="0.249977111117893"/>
      </right>
      <top style="thin">
        <color theme="3" tint="0.249977111117893"/>
      </top>
      <bottom style="medium">
        <color theme="3" tint="0.249977111117893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/>
    <xf numFmtId="14" fontId="6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4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1" xfId="0" applyFont="1" applyBorder="1"/>
    <xf numFmtId="0" fontId="3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 wrapText="1"/>
    </xf>
    <xf numFmtId="0" fontId="2" fillId="0" borderId="21" xfId="0" applyFont="1" applyBorder="1"/>
    <xf numFmtId="0" fontId="7" fillId="0" borderId="17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17" xfId="0" applyFont="1" applyBorder="1"/>
    <xf numFmtId="0" fontId="2" fillId="4" borderId="21" xfId="0" applyFont="1" applyFill="1" applyBorder="1"/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2" fillId="0" borderId="20" xfId="0" applyFont="1" applyBorder="1"/>
    <xf numFmtId="0" fontId="2" fillId="0" borderId="20" xfId="0" applyFont="1" applyBorder="1" applyAlignment="1">
      <alignment horizontal="left"/>
    </xf>
    <xf numFmtId="0" fontId="7" fillId="0" borderId="22" xfId="0" applyFont="1" applyBorder="1"/>
    <xf numFmtId="0" fontId="2" fillId="0" borderId="19" xfId="0" applyFont="1" applyBorder="1"/>
    <xf numFmtId="0" fontId="2" fillId="0" borderId="24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5" xfId="0" applyFont="1" applyBorder="1"/>
    <xf numFmtId="0" fontId="7" fillId="0" borderId="25" xfId="0" applyFont="1" applyBorder="1"/>
    <xf numFmtId="0" fontId="4" fillId="0" borderId="26" xfId="0" applyFont="1" applyBorder="1" applyAlignment="1">
      <alignment horizontal="center" vertical="center" wrapText="1"/>
    </xf>
    <xf numFmtId="0" fontId="2" fillId="0" borderId="4" xfId="0" applyFont="1" applyBorder="1"/>
    <xf numFmtId="0" fontId="2" fillId="4" borderId="5" xfId="0" applyFont="1" applyFill="1" applyBorder="1"/>
    <xf numFmtId="0" fontId="2" fillId="0" borderId="25" xfId="0" applyFont="1" applyBorder="1"/>
    <xf numFmtId="0" fontId="2" fillId="0" borderId="26" xfId="0" applyFont="1" applyBorder="1"/>
  </cellXfs>
  <cellStyles count="1">
    <cellStyle name="Normal" xfId="0" builtinId="0"/>
  </cellStyles>
  <dxfs count="5">
    <dxf>
      <fill>
        <patternFill patternType="solid">
          <fgColor rgb="FFF6C5AC"/>
          <bgColor rgb="FFF6C5A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6C5AC"/>
          <bgColor rgb="FFF6C5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F2EA309-3A4A-4171-9C03-E1D407F01BC2}"/>
  <namedSheetView name="View2" id="{0B9B4228-C83C-40AB-9832-3B4A033761F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pane xSplit="13" ySplit="1" topLeftCell="N2" activePane="bottomRight" state="frozen"/>
      <selection activeCell="K28" sqref="K28"/>
      <selection pane="topRight"/>
      <selection pane="bottomLeft"/>
      <selection pane="bottomRight" sqref="A1:XFD1"/>
    </sheetView>
  </sheetViews>
  <sheetFormatPr defaultColWidth="8.54296875" defaultRowHeight="14.5" x14ac:dyDescent="0.35"/>
  <cols>
    <col min="1" max="1" width="5" bestFit="1" customWidth="1"/>
    <col min="2" max="2" width="9.54296875" customWidth="1"/>
    <col min="3" max="3" width="15.08984375" customWidth="1"/>
    <col min="4" max="4" width="30.36328125" customWidth="1"/>
    <col min="5" max="5" width="10.81640625" customWidth="1"/>
    <col min="6" max="6" width="10.81640625" bestFit="1" customWidth="1"/>
    <col min="7" max="7" width="9.26953125" customWidth="1"/>
    <col min="8" max="8" width="10.81640625" hidden="1" customWidth="1"/>
    <col min="9" max="9" width="28.7265625" hidden="1" customWidth="1"/>
    <col min="10" max="10" width="10.90625" hidden="1" customWidth="1"/>
    <col min="11" max="11" width="12.08984375" customWidth="1"/>
    <col min="12" max="12" width="16.08984375" hidden="1" customWidth="1"/>
    <col min="13" max="13" width="12" customWidth="1"/>
    <col min="14" max="14" width="11.6328125" customWidth="1"/>
    <col min="15" max="15" width="11.81640625" customWidth="1"/>
    <col min="16" max="37" width="11.6328125" customWidth="1"/>
  </cols>
  <sheetData>
    <row r="1" spans="1:37" s="1" customFormat="1" ht="15.5" customHeight="1" x14ac:dyDescent="0.3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4" t="s">
        <v>7</v>
      </c>
      <c r="I1" s="5" t="s">
        <v>8</v>
      </c>
      <c r="J1" s="5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5" t="s">
        <v>14</v>
      </c>
      <c r="R1" s="12" t="s">
        <v>16</v>
      </c>
      <c r="S1" s="13" t="s">
        <v>14</v>
      </c>
      <c r="T1" s="14" t="s">
        <v>17</v>
      </c>
      <c r="U1" s="15" t="s">
        <v>14</v>
      </c>
      <c r="V1" s="12" t="s">
        <v>18</v>
      </c>
      <c r="W1" s="13" t="s">
        <v>14</v>
      </c>
      <c r="X1" s="14" t="s">
        <v>19</v>
      </c>
      <c r="Y1" s="15" t="s">
        <v>14</v>
      </c>
      <c r="Z1" s="12" t="s">
        <v>20</v>
      </c>
      <c r="AA1" s="13" t="s">
        <v>14</v>
      </c>
      <c r="AB1" s="14" t="s">
        <v>21</v>
      </c>
      <c r="AC1" s="15" t="s">
        <v>14</v>
      </c>
      <c r="AD1" s="12" t="s">
        <v>22</v>
      </c>
      <c r="AE1" s="13" t="s">
        <v>14</v>
      </c>
      <c r="AF1" s="14" t="s">
        <v>23</v>
      </c>
      <c r="AG1" s="15" t="s">
        <v>14</v>
      </c>
      <c r="AH1" s="12" t="s">
        <v>24</v>
      </c>
      <c r="AI1" s="13" t="s">
        <v>14</v>
      </c>
      <c r="AJ1" s="14" t="s">
        <v>25</v>
      </c>
      <c r="AK1" s="15" t="s">
        <v>14</v>
      </c>
    </row>
    <row r="2" spans="1:37" x14ac:dyDescent="0.35">
      <c r="A2" s="16">
        <v>1</v>
      </c>
      <c r="B2" s="17">
        <v>29785</v>
      </c>
      <c r="C2" s="18" t="s">
        <v>26</v>
      </c>
      <c r="D2" s="19" t="s">
        <v>27</v>
      </c>
      <c r="E2" s="20">
        <v>45383</v>
      </c>
      <c r="F2" s="21">
        <v>46477</v>
      </c>
      <c r="G2" s="22">
        <f t="shared" ref="G2:G27" ca="1" si="0">F2-TODAY()</f>
        <v>338</v>
      </c>
      <c r="H2" s="23" t="s">
        <v>28</v>
      </c>
      <c r="I2" s="24" t="s">
        <v>29</v>
      </c>
      <c r="J2" s="25">
        <v>20509212.670000002</v>
      </c>
      <c r="K2" s="24" t="s">
        <v>30</v>
      </c>
      <c r="L2" s="26"/>
      <c r="M2" s="27" t="s">
        <v>31</v>
      </c>
      <c r="N2" s="28" t="s">
        <v>32</v>
      </c>
      <c r="O2" s="29"/>
      <c r="P2" s="30"/>
      <c r="Q2" s="31"/>
      <c r="R2" s="32"/>
      <c r="S2" s="26"/>
      <c r="T2" s="30"/>
      <c r="U2" s="31"/>
      <c r="V2" s="32"/>
      <c r="W2" s="26"/>
      <c r="X2" s="30"/>
      <c r="Y2" s="31"/>
      <c r="Z2" s="32"/>
      <c r="AA2" s="26"/>
      <c r="AB2" s="30"/>
      <c r="AC2" s="31"/>
      <c r="AD2" s="32"/>
      <c r="AE2" s="26"/>
      <c r="AF2" s="30"/>
      <c r="AG2" s="31"/>
      <c r="AH2" s="32"/>
      <c r="AI2" s="26"/>
      <c r="AJ2" s="30"/>
      <c r="AK2" s="31"/>
    </row>
    <row r="3" spans="1:37" ht="34.5" x14ac:dyDescent="0.35">
      <c r="A3" s="33">
        <v>2</v>
      </c>
      <c r="B3" s="34">
        <v>25229</v>
      </c>
      <c r="C3" s="35" t="s">
        <v>33</v>
      </c>
      <c r="D3" s="36" t="s">
        <v>34</v>
      </c>
      <c r="E3" s="37">
        <v>45748</v>
      </c>
      <c r="F3" s="38">
        <v>46112</v>
      </c>
      <c r="G3" s="39">
        <f t="shared" ca="1" si="0"/>
        <v>-27</v>
      </c>
      <c r="H3" s="40" t="s">
        <v>35</v>
      </c>
      <c r="I3" s="41" t="s">
        <v>36</v>
      </c>
      <c r="J3" s="42" t="s">
        <v>37</v>
      </c>
      <c r="K3" s="41"/>
      <c r="L3" s="43"/>
      <c r="M3" s="27" t="s">
        <v>31</v>
      </c>
      <c r="N3" s="44" t="s">
        <v>38</v>
      </c>
      <c r="O3" s="45" t="s">
        <v>39</v>
      </c>
      <c r="P3" s="46"/>
      <c r="Q3" s="47"/>
      <c r="R3" s="48"/>
      <c r="S3" s="43"/>
      <c r="T3" s="46"/>
      <c r="U3" s="47"/>
      <c r="V3" s="48"/>
      <c r="W3" s="43"/>
      <c r="X3" s="46"/>
      <c r="Y3" s="47"/>
      <c r="Z3" s="48"/>
      <c r="AA3" s="43"/>
      <c r="AB3" s="46"/>
      <c r="AC3" s="47"/>
      <c r="AD3" s="48"/>
      <c r="AE3" s="43"/>
      <c r="AF3" s="46"/>
      <c r="AG3" s="47"/>
      <c r="AH3" s="48"/>
      <c r="AI3" s="43"/>
      <c r="AJ3" s="46"/>
      <c r="AK3" s="47"/>
    </row>
    <row r="4" spans="1:37" ht="23" x14ac:dyDescent="0.35">
      <c r="A4" s="16">
        <v>3</v>
      </c>
      <c r="B4" s="34">
        <v>11769</v>
      </c>
      <c r="C4" s="35" t="s">
        <v>40</v>
      </c>
      <c r="D4" s="36" t="s">
        <v>41</v>
      </c>
      <c r="E4" s="37">
        <v>46023</v>
      </c>
      <c r="F4" s="38">
        <v>46387</v>
      </c>
      <c r="G4" s="39">
        <f t="shared" ca="1" si="0"/>
        <v>248</v>
      </c>
      <c r="H4" s="40" t="s">
        <v>35</v>
      </c>
      <c r="I4" s="41" t="s">
        <v>36</v>
      </c>
      <c r="J4" s="42" t="s">
        <v>36</v>
      </c>
      <c r="K4" s="41" t="s">
        <v>42</v>
      </c>
      <c r="L4" s="43"/>
      <c r="M4" s="27" t="s">
        <v>31</v>
      </c>
      <c r="N4" s="28" t="s">
        <v>32</v>
      </c>
      <c r="O4" s="49"/>
      <c r="P4" s="46"/>
      <c r="Q4" s="47"/>
      <c r="R4" s="48"/>
      <c r="S4" s="43"/>
      <c r="T4" s="46"/>
      <c r="U4" s="47"/>
      <c r="V4" s="48"/>
      <c r="W4" s="43"/>
      <c r="X4" s="46"/>
      <c r="Y4" s="47"/>
      <c r="Z4" s="48"/>
      <c r="AA4" s="43"/>
      <c r="AB4" s="46"/>
      <c r="AC4" s="47"/>
      <c r="AD4" s="48"/>
      <c r="AE4" s="43"/>
      <c r="AF4" s="46"/>
      <c r="AG4" s="47"/>
      <c r="AH4" s="48"/>
      <c r="AI4" s="43"/>
      <c r="AJ4" s="46"/>
      <c r="AK4" s="47"/>
    </row>
    <row r="5" spans="1:37" ht="23" x14ac:dyDescent="0.35">
      <c r="A5" s="33">
        <v>4</v>
      </c>
      <c r="B5" s="34">
        <v>1259</v>
      </c>
      <c r="C5" s="35" t="s">
        <v>43</v>
      </c>
      <c r="D5" s="36" t="s">
        <v>44</v>
      </c>
      <c r="E5" s="37">
        <v>45748</v>
      </c>
      <c r="F5" s="38">
        <v>46843</v>
      </c>
      <c r="G5" s="39">
        <f t="shared" ca="1" si="0"/>
        <v>704</v>
      </c>
      <c r="H5" s="40" t="s">
        <v>28</v>
      </c>
      <c r="I5" s="41" t="s">
        <v>36</v>
      </c>
      <c r="J5" s="42" t="s">
        <v>36</v>
      </c>
      <c r="K5" s="41" t="s">
        <v>42</v>
      </c>
      <c r="L5" s="43"/>
      <c r="M5" s="27" t="s">
        <v>31</v>
      </c>
      <c r="N5" s="28" t="s">
        <v>32</v>
      </c>
      <c r="O5" s="49"/>
      <c r="P5" s="46"/>
      <c r="Q5" s="47"/>
      <c r="R5" s="48"/>
      <c r="S5" s="43"/>
      <c r="T5" s="46"/>
      <c r="U5" s="47"/>
      <c r="V5" s="48"/>
      <c r="W5" s="43"/>
      <c r="X5" s="46"/>
      <c r="Y5" s="47"/>
      <c r="Z5" s="48"/>
      <c r="AA5" s="43"/>
      <c r="AB5" s="46"/>
      <c r="AC5" s="47"/>
      <c r="AD5" s="48"/>
      <c r="AE5" s="43"/>
      <c r="AF5" s="46"/>
      <c r="AG5" s="47"/>
      <c r="AH5" s="48"/>
      <c r="AI5" s="43"/>
      <c r="AJ5" s="46"/>
      <c r="AK5" s="47"/>
    </row>
    <row r="6" spans="1:37" ht="23" x14ac:dyDescent="0.35">
      <c r="A6" s="16">
        <v>5</v>
      </c>
      <c r="B6" s="34">
        <v>21806</v>
      </c>
      <c r="C6" s="35" t="s">
        <v>45</v>
      </c>
      <c r="D6" s="36" t="s">
        <v>46</v>
      </c>
      <c r="E6" s="37">
        <v>46023</v>
      </c>
      <c r="F6" s="38">
        <v>47118</v>
      </c>
      <c r="G6" s="39">
        <f t="shared" ca="1" si="0"/>
        <v>979</v>
      </c>
      <c r="H6" s="40" t="s">
        <v>28</v>
      </c>
      <c r="I6" s="41" t="s">
        <v>36</v>
      </c>
      <c r="J6" s="42" t="s">
        <v>36</v>
      </c>
      <c r="K6" s="41" t="s">
        <v>42</v>
      </c>
      <c r="L6" s="43"/>
      <c r="M6" s="27" t="s">
        <v>31</v>
      </c>
      <c r="N6" s="44" t="s">
        <v>38</v>
      </c>
      <c r="O6" s="45" t="s">
        <v>47</v>
      </c>
      <c r="P6" s="46"/>
      <c r="Q6" s="47"/>
      <c r="R6" s="48"/>
      <c r="S6" s="43"/>
      <c r="T6" s="46"/>
      <c r="U6" s="47"/>
      <c r="V6" s="48"/>
      <c r="W6" s="43"/>
      <c r="X6" s="46"/>
      <c r="Y6" s="47"/>
      <c r="Z6" s="48"/>
      <c r="AA6" s="43"/>
      <c r="AB6" s="46"/>
      <c r="AC6" s="47"/>
      <c r="AD6" s="48"/>
      <c r="AE6" s="43"/>
      <c r="AF6" s="46"/>
      <c r="AG6" s="47"/>
      <c r="AH6" s="48"/>
      <c r="AI6" s="43"/>
      <c r="AJ6" s="46"/>
      <c r="AK6" s="47"/>
    </row>
    <row r="7" spans="1:37" x14ac:dyDescent="0.35">
      <c r="A7" s="33">
        <v>6</v>
      </c>
      <c r="B7" s="34">
        <v>11783</v>
      </c>
      <c r="C7" s="35" t="s">
        <v>48</v>
      </c>
      <c r="D7" s="36" t="s">
        <v>49</v>
      </c>
      <c r="E7" s="50" t="s">
        <v>50</v>
      </c>
      <c r="F7" s="51" t="s">
        <v>50</v>
      </c>
      <c r="G7" s="39" t="e">
        <f t="shared" ca="1" si="0"/>
        <v>#VALUE!</v>
      </c>
      <c r="H7" s="52"/>
      <c r="I7" s="41"/>
      <c r="J7" s="41"/>
      <c r="K7" s="53" t="s">
        <v>42</v>
      </c>
      <c r="L7" s="54"/>
      <c r="M7" s="55" t="s">
        <v>51</v>
      </c>
      <c r="N7" s="56" t="s">
        <v>32</v>
      </c>
      <c r="O7" s="57"/>
      <c r="P7" s="46"/>
      <c r="Q7" s="47"/>
      <c r="R7" s="48"/>
      <c r="S7" s="43"/>
      <c r="T7" s="46"/>
      <c r="U7" s="47"/>
      <c r="V7" s="48"/>
      <c r="W7" s="43"/>
      <c r="X7" s="46"/>
      <c r="Y7" s="47"/>
      <c r="Z7" s="48"/>
      <c r="AA7" s="43"/>
      <c r="AB7" s="46"/>
      <c r="AC7" s="47"/>
      <c r="AD7" s="48"/>
      <c r="AE7" s="43"/>
      <c r="AF7" s="46"/>
      <c r="AG7" s="47"/>
      <c r="AH7" s="48"/>
      <c r="AI7" s="43"/>
      <c r="AJ7" s="46"/>
      <c r="AK7" s="47"/>
    </row>
    <row r="8" spans="1:37" x14ac:dyDescent="0.35">
      <c r="A8" s="16">
        <v>7</v>
      </c>
      <c r="B8" s="34">
        <v>313</v>
      </c>
      <c r="C8" s="35" t="s">
        <v>52</v>
      </c>
      <c r="D8" s="36" t="s">
        <v>53</v>
      </c>
      <c r="E8" s="37">
        <v>45809</v>
      </c>
      <c r="F8" s="38">
        <v>46173</v>
      </c>
      <c r="G8" s="39">
        <f t="shared" ca="1" si="0"/>
        <v>34</v>
      </c>
      <c r="H8" s="40" t="s">
        <v>35</v>
      </c>
      <c r="I8" s="41" t="s">
        <v>36</v>
      </c>
      <c r="J8" s="42">
        <v>2518576</v>
      </c>
      <c r="K8" s="41" t="s">
        <v>54</v>
      </c>
      <c r="L8" s="43"/>
      <c r="M8" s="55" t="s">
        <v>51</v>
      </c>
      <c r="N8" s="48"/>
      <c r="O8" s="49"/>
      <c r="P8" s="46"/>
      <c r="Q8" s="47"/>
      <c r="R8" s="48"/>
      <c r="S8" s="43"/>
      <c r="T8" s="46"/>
      <c r="U8" s="47"/>
      <c r="V8" s="48"/>
      <c r="W8" s="43"/>
      <c r="X8" s="46"/>
      <c r="Y8" s="47"/>
      <c r="Z8" s="48"/>
      <c r="AA8" s="43"/>
      <c r="AB8" s="46"/>
      <c r="AC8" s="47"/>
      <c r="AD8" s="48"/>
      <c r="AE8" s="43"/>
      <c r="AF8" s="46"/>
      <c r="AG8" s="47"/>
      <c r="AH8" s="48"/>
      <c r="AI8" s="43"/>
      <c r="AJ8" s="46"/>
      <c r="AK8" s="47"/>
    </row>
    <row r="9" spans="1:37" ht="24.5" customHeight="1" x14ac:dyDescent="0.35">
      <c r="A9" s="33">
        <v>8</v>
      </c>
      <c r="B9" s="34">
        <v>27871</v>
      </c>
      <c r="C9" s="35" t="s">
        <v>55</v>
      </c>
      <c r="D9" s="36" t="s">
        <v>56</v>
      </c>
      <c r="E9" s="37">
        <v>45901</v>
      </c>
      <c r="F9" s="38">
        <v>46996</v>
      </c>
      <c r="G9" s="39">
        <f t="shared" ca="1" si="0"/>
        <v>857</v>
      </c>
      <c r="H9" s="40" t="s">
        <v>28</v>
      </c>
      <c r="I9" s="41" t="s">
        <v>57</v>
      </c>
      <c r="J9" s="42">
        <v>2813503</v>
      </c>
      <c r="K9" s="24" t="s">
        <v>30</v>
      </c>
      <c r="L9" s="43"/>
      <c r="M9" s="55" t="s">
        <v>51</v>
      </c>
      <c r="N9" s="48"/>
      <c r="O9" s="49"/>
      <c r="P9" s="46"/>
      <c r="Q9" s="47"/>
      <c r="R9" s="48"/>
      <c r="S9" s="43"/>
      <c r="T9" s="46"/>
      <c r="U9" s="47"/>
      <c r="V9" s="48"/>
      <c r="W9" s="43"/>
      <c r="X9" s="46"/>
      <c r="Y9" s="47"/>
      <c r="Z9" s="48"/>
      <c r="AA9" s="43"/>
      <c r="AB9" s="46"/>
      <c r="AC9" s="47"/>
      <c r="AD9" s="48"/>
      <c r="AE9" s="43"/>
      <c r="AF9" s="46"/>
      <c r="AG9" s="47"/>
      <c r="AH9" s="48"/>
      <c r="AI9" s="43"/>
      <c r="AJ9" s="46"/>
      <c r="AK9" s="47"/>
    </row>
    <row r="10" spans="1:37" x14ac:dyDescent="0.35">
      <c r="A10" s="16">
        <v>9</v>
      </c>
      <c r="B10" s="34">
        <v>34492</v>
      </c>
      <c r="C10" s="35" t="s">
        <v>58</v>
      </c>
      <c r="D10" s="36" t="s">
        <v>59</v>
      </c>
      <c r="E10" s="37">
        <v>45856</v>
      </c>
      <c r="F10" s="38">
        <v>46951</v>
      </c>
      <c r="G10" s="39">
        <f t="shared" ca="1" si="0"/>
        <v>812</v>
      </c>
      <c r="H10" s="40" t="s">
        <v>28</v>
      </c>
      <c r="I10" s="41" t="s">
        <v>60</v>
      </c>
      <c r="J10" s="42">
        <v>1026600</v>
      </c>
      <c r="K10" s="41" t="s">
        <v>42</v>
      </c>
      <c r="L10" s="43"/>
      <c r="M10" s="55" t="s">
        <v>51</v>
      </c>
      <c r="N10" s="48"/>
      <c r="O10" s="49"/>
      <c r="P10" s="46"/>
      <c r="Q10" s="47"/>
      <c r="R10" s="48"/>
      <c r="S10" s="43"/>
      <c r="T10" s="46"/>
      <c r="U10" s="47"/>
      <c r="V10" s="48"/>
      <c r="W10" s="43"/>
      <c r="X10" s="46"/>
      <c r="Y10" s="47"/>
      <c r="Z10" s="48"/>
      <c r="AA10" s="43"/>
      <c r="AB10" s="46"/>
      <c r="AC10" s="47"/>
      <c r="AD10" s="48"/>
      <c r="AE10" s="43"/>
      <c r="AF10" s="46"/>
      <c r="AG10" s="47"/>
      <c r="AH10" s="48"/>
      <c r="AI10" s="43"/>
      <c r="AJ10" s="46"/>
      <c r="AK10" s="47"/>
    </row>
    <row r="11" spans="1:37" x14ac:dyDescent="0.35">
      <c r="A11" s="33">
        <v>10</v>
      </c>
      <c r="B11" s="34">
        <v>2113</v>
      </c>
      <c r="C11" s="35" t="s">
        <v>58</v>
      </c>
      <c r="D11" s="36" t="s">
        <v>61</v>
      </c>
      <c r="E11" s="37">
        <v>45839</v>
      </c>
      <c r="F11" s="38">
        <v>46935</v>
      </c>
      <c r="G11" s="39">
        <f t="shared" ca="1" si="0"/>
        <v>796</v>
      </c>
      <c r="H11" s="40" t="s">
        <v>62</v>
      </c>
      <c r="I11" s="41" t="s">
        <v>63</v>
      </c>
      <c r="J11" s="42">
        <v>991200</v>
      </c>
      <c r="K11" s="41" t="s">
        <v>64</v>
      </c>
      <c r="L11" s="43"/>
      <c r="M11" s="55" t="s">
        <v>51</v>
      </c>
      <c r="N11" s="48"/>
      <c r="O11" s="49"/>
      <c r="P11" s="46"/>
      <c r="Q11" s="47"/>
      <c r="R11" s="48"/>
      <c r="S11" s="43"/>
      <c r="T11" s="46"/>
      <c r="U11" s="47"/>
      <c r="V11" s="48"/>
      <c r="W11" s="43"/>
      <c r="X11" s="46"/>
      <c r="Y11" s="47"/>
      <c r="Z11" s="48"/>
      <c r="AA11" s="43"/>
      <c r="AB11" s="46"/>
      <c r="AC11" s="47"/>
      <c r="AD11" s="48"/>
      <c r="AE11" s="43"/>
      <c r="AF11" s="46"/>
      <c r="AG11" s="47"/>
      <c r="AH11" s="48"/>
      <c r="AI11" s="43"/>
      <c r="AJ11" s="46"/>
      <c r="AK11" s="47"/>
    </row>
    <row r="12" spans="1:37" ht="46" x14ac:dyDescent="0.35">
      <c r="A12" s="16">
        <v>11</v>
      </c>
      <c r="B12" s="34">
        <v>27332</v>
      </c>
      <c r="C12" s="35" t="s">
        <v>65</v>
      </c>
      <c r="D12" s="36" t="s">
        <v>66</v>
      </c>
      <c r="E12" s="37">
        <v>45746</v>
      </c>
      <c r="F12" s="38">
        <v>46110</v>
      </c>
      <c r="G12" s="39">
        <f t="shared" ca="1" si="0"/>
        <v>-29</v>
      </c>
      <c r="H12" s="40" t="s">
        <v>35</v>
      </c>
      <c r="I12" s="41" t="s">
        <v>67</v>
      </c>
      <c r="J12" s="42" t="s">
        <v>68</v>
      </c>
      <c r="K12" s="41" t="s">
        <v>64</v>
      </c>
      <c r="L12" s="43"/>
      <c r="M12" s="55" t="s">
        <v>51</v>
      </c>
      <c r="N12" s="48"/>
      <c r="O12" s="49"/>
      <c r="P12" s="46"/>
      <c r="Q12" s="47"/>
      <c r="R12" s="48"/>
      <c r="S12" s="43"/>
      <c r="T12" s="46"/>
      <c r="U12" s="47"/>
      <c r="V12" s="48"/>
      <c r="W12" s="43"/>
      <c r="X12" s="46"/>
      <c r="Y12" s="47"/>
      <c r="Z12" s="48"/>
      <c r="AA12" s="43"/>
      <c r="AB12" s="46"/>
      <c r="AC12" s="47"/>
      <c r="AD12" s="48"/>
      <c r="AE12" s="43"/>
      <c r="AF12" s="46"/>
      <c r="AG12" s="47"/>
      <c r="AH12" s="48"/>
      <c r="AI12" s="43"/>
      <c r="AJ12" s="46"/>
      <c r="AK12" s="47"/>
    </row>
    <row r="13" spans="1:37" ht="23" x14ac:dyDescent="0.35">
      <c r="A13" s="33">
        <v>12</v>
      </c>
      <c r="B13" s="34">
        <v>23605</v>
      </c>
      <c r="C13" s="35" t="s">
        <v>65</v>
      </c>
      <c r="D13" s="36" t="s">
        <v>69</v>
      </c>
      <c r="E13" s="37">
        <v>45839</v>
      </c>
      <c r="F13" s="38">
        <v>46934</v>
      </c>
      <c r="G13" s="39">
        <f t="shared" ca="1" si="0"/>
        <v>795</v>
      </c>
      <c r="H13" s="40" t="s">
        <v>28</v>
      </c>
      <c r="I13" s="41" t="s">
        <v>70</v>
      </c>
      <c r="J13" s="42" t="s">
        <v>71</v>
      </c>
      <c r="K13" s="41" t="s">
        <v>64</v>
      </c>
      <c r="L13" s="43"/>
      <c r="M13" s="55" t="s">
        <v>51</v>
      </c>
      <c r="N13" s="48"/>
      <c r="O13" s="49"/>
      <c r="P13" s="46"/>
      <c r="Q13" s="47"/>
      <c r="R13" s="48"/>
      <c r="S13" s="43"/>
      <c r="T13" s="46"/>
      <c r="U13" s="47"/>
      <c r="V13" s="48"/>
      <c r="W13" s="43"/>
      <c r="X13" s="46"/>
      <c r="Y13" s="47"/>
      <c r="Z13" s="48"/>
      <c r="AA13" s="43"/>
      <c r="AB13" s="46"/>
      <c r="AC13" s="47"/>
      <c r="AD13" s="48"/>
      <c r="AE13" s="43"/>
      <c r="AF13" s="46"/>
      <c r="AG13" s="47"/>
      <c r="AH13" s="48"/>
      <c r="AI13" s="43"/>
      <c r="AJ13" s="46"/>
      <c r="AK13" s="47"/>
    </row>
    <row r="14" spans="1:37" ht="23" x14ac:dyDescent="0.35">
      <c r="A14" s="16">
        <v>13</v>
      </c>
      <c r="B14" s="34">
        <v>15689</v>
      </c>
      <c r="C14" s="35" t="s">
        <v>72</v>
      </c>
      <c r="D14" s="36" t="s">
        <v>73</v>
      </c>
      <c r="E14" s="37">
        <v>45931</v>
      </c>
      <c r="F14" s="38">
        <v>47026</v>
      </c>
      <c r="G14" s="39">
        <f t="shared" ca="1" si="0"/>
        <v>887</v>
      </c>
      <c r="H14" s="40" t="s">
        <v>28</v>
      </c>
      <c r="I14" s="41" t="s">
        <v>36</v>
      </c>
      <c r="J14" s="42" t="s">
        <v>74</v>
      </c>
      <c r="K14" s="41" t="s">
        <v>64</v>
      </c>
      <c r="L14" s="43"/>
      <c r="M14" s="55" t="s">
        <v>51</v>
      </c>
      <c r="N14" s="48"/>
      <c r="O14" s="49"/>
      <c r="P14" s="46"/>
      <c r="Q14" s="47"/>
      <c r="R14" s="48"/>
      <c r="S14" s="43"/>
      <c r="T14" s="46"/>
      <c r="U14" s="47"/>
      <c r="V14" s="48"/>
      <c r="W14" s="43"/>
      <c r="X14" s="46"/>
      <c r="Y14" s="47"/>
      <c r="Z14" s="48"/>
      <c r="AA14" s="43"/>
      <c r="AB14" s="46"/>
      <c r="AC14" s="47"/>
      <c r="AD14" s="48"/>
      <c r="AE14" s="43"/>
      <c r="AF14" s="46"/>
      <c r="AG14" s="47"/>
      <c r="AH14" s="48"/>
      <c r="AI14" s="43"/>
      <c r="AJ14" s="46"/>
      <c r="AK14" s="47"/>
    </row>
    <row r="15" spans="1:37" ht="25" x14ac:dyDescent="0.35">
      <c r="A15" s="33">
        <v>14</v>
      </c>
      <c r="B15" s="34">
        <v>11782</v>
      </c>
      <c r="C15" s="35" t="s">
        <v>75</v>
      </c>
      <c r="D15" s="36" t="s">
        <v>76</v>
      </c>
      <c r="E15" s="37">
        <v>44927</v>
      </c>
      <c r="F15" s="38">
        <v>46112</v>
      </c>
      <c r="G15" s="39">
        <f t="shared" ca="1" si="0"/>
        <v>-27</v>
      </c>
      <c r="H15" s="40" t="s">
        <v>28</v>
      </c>
      <c r="I15" s="41" t="s">
        <v>36</v>
      </c>
      <c r="J15" s="42" t="s">
        <v>77</v>
      </c>
      <c r="K15" s="41" t="s">
        <v>64</v>
      </c>
      <c r="L15" s="43"/>
      <c r="M15" s="58" t="s">
        <v>78</v>
      </c>
      <c r="N15" s="48"/>
      <c r="O15" s="49"/>
      <c r="P15" s="46"/>
      <c r="Q15" s="47"/>
      <c r="R15" s="48"/>
      <c r="S15" s="43"/>
      <c r="T15" s="46"/>
      <c r="U15" s="47"/>
      <c r="V15" s="48"/>
      <c r="W15" s="43"/>
      <c r="X15" s="46"/>
      <c r="Y15" s="47"/>
      <c r="Z15" s="48"/>
      <c r="AA15" s="43"/>
      <c r="AB15" s="46"/>
      <c r="AC15" s="47"/>
      <c r="AD15" s="48"/>
      <c r="AE15" s="43"/>
      <c r="AF15" s="46"/>
      <c r="AG15" s="47"/>
      <c r="AH15" s="48"/>
      <c r="AI15" s="43"/>
      <c r="AJ15" s="46"/>
      <c r="AK15" s="47"/>
    </row>
    <row r="16" spans="1:37" ht="25" x14ac:dyDescent="0.35">
      <c r="A16" s="16">
        <v>15</v>
      </c>
      <c r="B16" s="34">
        <v>6609</v>
      </c>
      <c r="C16" s="35" t="s">
        <v>75</v>
      </c>
      <c r="D16" s="36" t="s">
        <v>79</v>
      </c>
      <c r="E16" s="37">
        <v>45991</v>
      </c>
      <c r="F16" s="38">
        <v>46081</v>
      </c>
      <c r="G16" s="39">
        <f t="shared" ca="1" si="0"/>
        <v>-58</v>
      </c>
      <c r="H16" s="40" t="s">
        <v>80</v>
      </c>
      <c r="I16" s="41" t="s">
        <v>36</v>
      </c>
      <c r="J16" s="42" t="s">
        <v>81</v>
      </c>
      <c r="K16" s="41" t="s">
        <v>42</v>
      </c>
      <c r="L16" s="43"/>
      <c r="M16" s="58" t="s">
        <v>78</v>
      </c>
      <c r="N16" s="48"/>
      <c r="O16" s="49"/>
      <c r="P16" s="46"/>
      <c r="Q16" s="47"/>
      <c r="R16" s="48"/>
      <c r="S16" s="43"/>
      <c r="T16" s="46"/>
      <c r="U16" s="47"/>
      <c r="V16" s="48"/>
      <c r="W16" s="43"/>
      <c r="X16" s="46"/>
      <c r="Y16" s="47"/>
      <c r="Z16" s="48"/>
      <c r="AA16" s="43"/>
      <c r="AB16" s="46"/>
      <c r="AC16" s="47"/>
      <c r="AD16" s="48"/>
      <c r="AE16" s="43"/>
      <c r="AF16" s="46"/>
      <c r="AG16" s="47"/>
      <c r="AH16" s="48"/>
      <c r="AI16" s="43"/>
      <c r="AJ16" s="46"/>
      <c r="AK16" s="47"/>
    </row>
    <row r="17" spans="1:37" x14ac:dyDescent="0.35">
      <c r="A17" s="33">
        <v>16</v>
      </c>
      <c r="B17" s="34">
        <v>1491</v>
      </c>
      <c r="C17" s="35" t="s">
        <v>82</v>
      </c>
      <c r="D17" s="36" t="s">
        <v>83</v>
      </c>
      <c r="E17" s="37">
        <v>45127</v>
      </c>
      <c r="F17" s="38">
        <v>46223</v>
      </c>
      <c r="G17" s="39">
        <f t="shared" ca="1" si="0"/>
        <v>84</v>
      </c>
      <c r="H17" s="40" t="s">
        <v>28</v>
      </c>
      <c r="I17" s="41" t="s">
        <v>84</v>
      </c>
      <c r="J17" s="42">
        <v>726609</v>
      </c>
      <c r="K17" s="41"/>
      <c r="L17" s="43"/>
      <c r="M17" s="59" t="s">
        <v>85</v>
      </c>
      <c r="N17" s="48"/>
      <c r="O17" s="49"/>
      <c r="P17" s="46"/>
      <c r="Q17" s="47"/>
      <c r="R17" s="48"/>
      <c r="S17" s="43"/>
      <c r="T17" s="46"/>
      <c r="U17" s="47"/>
      <c r="V17" s="48"/>
      <c r="W17" s="43"/>
      <c r="X17" s="46"/>
      <c r="Y17" s="47"/>
      <c r="Z17" s="48"/>
      <c r="AA17" s="43"/>
      <c r="AB17" s="46"/>
      <c r="AC17" s="47"/>
      <c r="AD17" s="48"/>
      <c r="AE17" s="43"/>
      <c r="AF17" s="46"/>
      <c r="AG17" s="47"/>
      <c r="AH17" s="48"/>
      <c r="AI17" s="43"/>
      <c r="AJ17" s="46"/>
      <c r="AK17" s="47"/>
    </row>
    <row r="18" spans="1:37" x14ac:dyDescent="0.35">
      <c r="A18" s="16">
        <v>17</v>
      </c>
      <c r="B18" s="34">
        <v>16224</v>
      </c>
      <c r="C18" s="35" t="s">
        <v>65</v>
      </c>
      <c r="D18" s="36" t="s">
        <v>86</v>
      </c>
      <c r="E18" s="37">
        <v>45662</v>
      </c>
      <c r="F18" s="38">
        <v>46788</v>
      </c>
      <c r="G18" s="39">
        <f t="shared" ca="1" si="0"/>
        <v>649</v>
      </c>
      <c r="H18" s="40" t="s">
        <v>28</v>
      </c>
      <c r="I18" s="41" t="s">
        <v>87</v>
      </c>
      <c r="J18" s="42">
        <v>1186005</v>
      </c>
      <c r="K18" s="41" t="s">
        <v>64</v>
      </c>
      <c r="L18" s="43"/>
      <c r="M18" s="59" t="s">
        <v>85</v>
      </c>
      <c r="N18" s="48"/>
      <c r="O18" s="49"/>
      <c r="P18" s="46"/>
      <c r="Q18" s="47"/>
      <c r="R18" s="48"/>
      <c r="S18" s="43"/>
      <c r="T18" s="46"/>
      <c r="U18" s="47"/>
      <c r="V18" s="48"/>
      <c r="W18" s="43"/>
      <c r="X18" s="46"/>
      <c r="Y18" s="47"/>
      <c r="Z18" s="48"/>
      <c r="AA18" s="43"/>
      <c r="AB18" s="46"/>
      <c r="AC18" s="47"/>
      <c r="AD18" s="48"/>
      <c r="AE18" s="43"/>
      <c r="AF18" s="46"/>
      <c r="AG18" s="47"/>
      <c r="AH18" s="48"/>
      <c r="AI18" s="43"/>
      <c r="AJ18" s="46"/>
      <c r="AK18" s="47"/>
    </row>
    <row r="19" spans="1:37" ht="23" x14ac:dyDescent="0.35">
      <c r="A19" s="33">
        <v>18</v>
      </c>
      <c r="B19" s="34">
        <v>10308</v>
      </c>
      <c r="C19" s="35" t="s">
        <v>88</v>
      </c>
      <c r="D19" s="36" t="s">
        <v>89</v>
      </c>
      <c r="E19" s="37">
        <v>44914</v>
      </c>
      <c r="F19" s="38">
        <v>46101</v>
      </c>
      <c r="G19" s="39">
        <f t="shared" ca="1" si="0"/>
        <v>-38</v>
      </c>
      <c r="H19" s="40" t="s">
        <v>28</v>
      </c>
      <c r="I19" s="41" t="s">
        <v>36</v>
      </c>
      <c r="J19" s="42">
        <v>3398400</v>
      </c>
      <c r="K19" s="41"/>
      <c r="L19" s="43"/>
      <c r="M19" s="59" t="s">
        <v>85</v>
      </c>
      <c r="N19" s="48"/>
      <c r="O19" s="49"/>
      <c r="P19" s="46"/>
      <c r="Q19" s="47"/>
      <c r="R19" s="48"/>
      <c r="S19" s="43"/>
      <c r="T19" s="46"/>
      <c r="U19" s="47"/>
      <c r="V19" s="48"/>
      <c r="W19" s="43"/>
      <c r="X19" s="46"/>
      <c r="Y19" s="47"/>
      <c r="Z19" s="48"/>
      <c r="AA19" s="43"/>
      <c r="AB19" s="46"/>
      <c r="AC19" s="47"/>
      <c r="AD19" s="48"/>
      <c r="AE19" s="43"/>
      <c r="AF19" s="46"/>
      <c r="AG19" s="47"/>
      <c r="AH19" s="48"/>
      <c r="AI19" s="43"/>
      <c r="AJ19" s="46"/>
      <c r="AK19" s="47"/>
    </row>
    <row r="20" spans="1:37" ht="34.5" x14ac:dyDescent="0.35">
      <c r="A20" s="16">
        <v>19</v>
      </c>
      <c r="B20" s="34">
        <v>25773</v>
      </c>
      <c r="C20" s="35" t="s">
        <v>90</v>
      </c>
      <c r="D20" s="36" t="s">
        <v>91</v>
      </c>
      <c r="E20" s="37">
        <v>44930</v>
      </c>
      <c r="F20" s="60" t="s">
        <v>36</v>
      </c>
      <c r="G20" s="39" t="e">
        <f t="shared" ca="1" si="0"/>
        <v>#VALUE!</v>
      </c>
      <c r="H20" s="40" t="s">
        <v>36</v>
      </c>
      <c r="I20" s="41" t="s">
        <v>36</v>
      </c>
      <c r="J20" s="42" t="s">
        <v>92</v>
      </c>
      <c r="K20" s="41"/>
      <c r="L20" s="43"/>
      <c r="M20" s="59" t="s">
        <v>85</v>
      </c>
      <c r="N20" s="28" t="s">
        <v>32</v>
      </c>
      <c r="O20" s="49"/>
      <c r="P20" s="46"/>
      <c r="Q20" s="47"/>
      <c r="R20" s="48"/>
      <c r="S20" s="43"/>
      <c r="T20" s="46"/>
      <c r="U20" s="47"/>
      <c r="V20" s="48"/>
      <c r="W20" s="43"/>
      <c r="X20" s="46"/>
      <c r="Y20" s="47"/>
      <c r="Z20" s="48"/>
      <c r="AA20" s="43"/>
      <c r="AB20" s="46"/>
      <c r="AC20" s="47"/>
      <c r="AD20" s="48"/>
      <c r="AE20" s="43"/>
      <c r="AF20" s="46"/>
      <c r="AG20" s="47"/>
      <c r="AH20" s="48"/>
      <c r="AI20" s="43"/>
      <c r="AJ20" s="46"/>
      <c r="AK20" s="47"/>
    </row>
    <row r="21" spans="1:37" ht="23" x14ac:dyDescent="0.35">
      <c r="A21" s="33">
        <v>20</v>
      </c>
      <c r="B21" s="34">
        <v>630</v>
      </c>
      <c r="C21" s="35" t="s">
        <v>93</v>
      </c>
      <c r="D21" s="36" t="s">
        <v>94</v>
      </c>
      <c r="E21" s="37">
        <v>45802</v>
      </c>
      <c r="F21" s="38">
        <v>46145</v>
      </c>
      <c r="G21" s="39">
        <f t="shared" ca="1" si="0"/>
        <v>6</v>
      </c>
      <c r="H21" s="40" t="s">
        <v>35</v>
      </c>
      <c r="I21" s="41" t="s">
        <v>36</v>
      </c>
      <c r="J21" s="42" t="s">
        <v>95</v>
      </c>
      <c r="K21" s="41"/>
      <c r="L21" s="43"/>
      <c r="M21" s="59" t="s">
        <v>85</v>
      </c>
      <c r="N21" s="48"/>
      <c r="O21" s="49"/>
      <c r="P21" s="46"/>
      <c r="Q21" s="47"/>
      <c r="R21" s="48"/>
      <c r="S21" s="43"/>
      <c r="T21" s="46"/>
      <c r="U21" s="47"/>
      <c r="V21" s="48"/>
      <c r="W21" s="43"/>
      <c r="X21" s="46"/>
      <c r="Y21" s="47"/>
      <c r="Z21" s="48"/>
      <c r="AA21" s="43"/>
      <c r="AB21" s="46"/>
      <c r="AC21" s="47"/>
      <c r="AD21" s="48"/>
      <c r="AE21" s="43"/>
      <c r="AF21" s="46"/>
      <c r="AG21" s="47"/>
      <c r="AH21" s="48"/>
      <c r="AI21" s="43"/>
      <c r="AJ21" s="46"/>
      <c r="AK21" s="47"/>
    </row>
    <row r="22" spans="1:37" ht="23" x14ac:dyDescent="0.35">
      <c r="A22" s="16">
        <v>21</v>
      </c>
      <c r="B22" s="34">
        <v>4771</v>
      </c>
      <c r="C22" s="35" t="s">
        <v>93</v>
      </c>
      <c r="D22" s="36" t="s">
        <v>96</v>
      </c>
      <c r="E22" s="37">
        <v>45929</v>
      </c>
      <c r="F22" s="38">
        <v>46326</v>
      </c>
      <c r="G22" s="39">
        <f t="shared" ca="1" si="0"/>
        <v>187</v>
      </c>
      <c r="H22" s="40" t="s">
        <v>35</v>
      </c>
      <c r="I22" s="41" t="s">
        <v>36</v>
      </c>
      <c r="J22" s="42" t="s">
        <v>95</v>
      </c>
      <c r="K22" s="41"/>
      <c r="L22" s="43"/>
      <c r="M22" s="59" t="s">
        <v>85</v>
      </c>
      <c r="N22" s="48"/>
      <c r="O22" s="49"/>
      <c r="P22" s="46"/>
      <c r="Q22" s="47"/>
      <c r="R22" s="48"/>
      <c r="S22" s="43"/>
      <c r="T22" s="46"/>
      <c r="U22" s="47"/>
      <c r="V22" s="48"/>
      <c r="W22" s="43"/>
      <c r="X22" s="46"/>
      <c r="Y22" s="47"/>
      <c r="Z22" s="48"/>
      <c r="AA22" s="43"/>
      <c r="AB22" s="46"/>
      <c r="AC22" s="47"/>
      <c r="AD22" s="48"/>
      <c r="AE22" s="43"/>
      <c r="AF22" s="46"/>
      <c r="AG22" s="47"/>
      <c r="AH22" s="48"/>
      <c r="AI22" s="43"/>
      <c r="AJ22" s="46"/>
      <c r="AK22" s="47"/>
    </row>
    <row r="23" spans="1:37" x14ac:dyDescent="0.35">
      <c r="A23" s="33">
        <v>22</v>
      </c>
      <c r="B23" s="34">
        <v>1698</v>
      </c>
      <c r="C23" s="35" t="s">
        <v>52</v>
      </c>
      <c r="D23" s="36" t="s">
        <v>97</v>
      </c>
      <c r="E23" s="37">
        <v>45947</v>
      </c>
      <c r="F23" s="38">
        <v>47772</v>
      </c>
      <c r="G23" s="39">
        <f t="shared" ca="1" si="0"/>
        <v>1633</v>
      </c>
      <c r="H23" s="40" t="s">
        <v>98</v>
      </c>
      <c r="I23" s="41" t="s">
        <v>36</v>
      </c>
      <c r="J23" s="42" t="s">
        <v>36</v>
      </c>
      <c r="K23" s="41"/>
      <c r="L23" s="43"/>
      <c r="M23" s="27"/>
      <c r="N23" s="48"/>
      <c r="O23" s="49"/>
      <c r="P23" s="46"/>
      <c r="Q23" s="47"/>
      <c r="R23" s="48"/>
      <c r="S23" s="43"/>
      <c r="T23" s="46"/>
      <c r="U23" s="47"/>
      <c r="V23" s="48"/>
      <c r="W23" s="43"/>
      <c r="X23" s="46"/>
      <c r="Y23" s="47"/>
      <c r="Z23" s="48"/>
      <c r="AA23" s="43"/>
      <c r="AB23" s="46"/>
      <c r="AC23" s="47"/>
      <c r="AD23" s="48"/>
      <c r="AE23" s="43"/>
      <c r="AF23" s="46"/>
      <c r="AG23" s="47"/>
      <c r="AH23" s="48"/>
      <c r="AI23" s="43"/>
      <c r="AJ23" s="46"/>
      <c r="AK23" s="47"/>
    </row>
    <row r="24" spans="1:37" ht="23" x14ac:dyDescent="0.35">
      <c r="A24" s="16">
        <v>23</v>
      </c>
      <c r="B24" s="34">
        <v>35706</v>
      </c>
      <c r="C24" s="35" t="s">
        <v>99</v>
      </c>
      <c r="D24" s="36" t="s">
        <v>100</v>
      </c>
      <c r="E24" s="37">
        <v>45728</v>
      </c>
      <c r="F24" s="38">
        <v>46092</v>
      </c>
      <c r="G24" s="39">
        <f t="shared" ca="1" si="0"/>
        <v>-47</v>
      </c>
      <c r="H24" s="40" t="s">
        <v>35</v>
      </c>
      <c r="I24" s="41" t="s">
        <v>36</v>
      </c>
      <c r="J24" s="42" t="s">
        <v>36</v>
      </c>
      <c r="K24" s="41"/>
      <c r="L24" s="43"/>
      <c r="M24" s="27"/>
      <c r="N24" s="48"/>
      <c r="O24" s="49"/>
      <c r="P24" s="46"/>
      <c r="Q24" s="47"/>
      <c r="R24" s="48"/>
      <c r="S24" s="43"/>
      <c r="T24" s="46"/>
      <c r="U24" s="47"/>
      <c r="V24" s="48"/>
      <c r="W24" s="43"/>
      <c r="X24" s="46"/>
      <c r="Y24" s="47"/>
      <c r="Z24" s="48"/>
      <c r="AA24" s="43"/>
      <c r="AB24" s="46"/>
      <c r="AC24" s="47"/>
      <c r="AD24" s="48"/>
      <c r="AE24" s="43"/>
      <c r="AF24" s="46"/>
      <c r="AG24" s="47"/>
      <c r="AH24" s="48"/>
      <c r="AI24" s="43"/>
      <c r="AJ24" s="46"/>
      <c r="AK24" s="47"/>
    </row>
    <row r="25" spans="1:37" ht="23" x14ac:dyDescent="0.35">
      <c r="A25" s="33">
        <v>24</v>
      </c>
      <c r="B25" s="34">
        <v>35706</v>
      </c>
      <c r="C25" s="35" t="s">
        <v>99</v>
      </c>
      <c r="D25" s="36" t="s">
        <v>101</v>
      </c>
      <c r="E25" s="37">
        <v>45728</v>
      </c>
      <c r="F25" s="38">
        <v>46092</v>
      </c>
      <c r="G25" s="39">
        <f t="shared" ca="1" si="0"/>
        <v>-47</v>
      </c>
      <c r="H25" s="40" t="s">
        <v>35</v>
      </c>
      <c r="I25" s="41" t="s">
        <v>36</v>
      </c>
      <c r="J25" s="42" t="s">
        <v>36</v>
      </c>
      <c r="K25" s="41"/>
      <c r="L25" s="43"/>
      <c r="M25" s="27"/>
      <c r="N25" s="48"/>
      <c r="O25" s="49"/>
      <c r="P25" s="46"/>
      <c r="Q25" s="47"/>
      <c r="R25" s="48"/>
      <c r="S25" s="43"/>
      <c r="T25" s="46"/>
      <c r="U25" s="47"/>
      <c r="V25" s="48"/>
      <c r="W25" s="43"/>
      <c r="X25" s="46"/>
      <c r="Y25" s="47"/>
      <c r="Z25" s="48"/>
      <c r="AA25" s="43"/>
      <c r="AB25" s="46"/>
      <c r="AC25" s="47"/>
      <c r="AD25" s="48"/>
      <c r="AE25" s="43"/>
      <c r="AF25" s="46"/>
      <c r="AG25" s="47"/>
      <c r="AH25" s="48"/>
      <c r="AI25" s="43"/>
      <c r="AJ25" s="46"/>
      <c r="AK25" s="47"/>
    </row>
    <row r="26" spans="1:37" ht="23" x14ac:dyDescent="0.35">
      <c r="A26" s="16">
        <v>25</v>
      </c>
      <c r="B26" s="34">
        <v>35706</v>
      </c>
      <c r="C26" s="35" t="s">
        <v>99</v>
      </c>
      <c r="D26" s="36" t="s">
        <v>102</v>
      </c>
      <c r="E26" s="37">
        <v>45156</v>
      </c>
      <c r="F26" s="38">
        <v>45886</v>
      </c>
      <c r="G26" s="39">
        <f t="shared" ca="1" si="0"/>
        <v>-253</v>
      </c>
      <c r="H26" s="40" t="s">
        <v>103</v>
      </c>
      <c r="I26" s="41" t="s">
        <v>36</v>
      </c>
      <c r="J26" s="42" t="s">
        <v>36</v>
      </c>
      <c r="K26" s="61"/>
      <c r="L26" s="43"/>
      <c r="M26" s="27"/>
      <c r="N26" s="48"/>
      <c r="O26" s="49"/>
      <c r="P26" s="46"/>
      <c r="Q26" s="47"/>
      <c r="R26" s="48"/>
      <c r="S26" s="43"/>
      <c r="T26" s="46"/>
      <c r="U26" s="47"/>
      <c r="V26" s="48"/>
      <c r="W26" s="43"/>
      <c r="X26" s="46"/>
      <c r="Y26" s="47"/>
      <c r="Z26" s="48"/>
      <c r="AA26" s="43"/>
      <c r="AB26" s="46"/>
      <c r="AC26" s="47"/>
      <c r="AD26" s="48"/>
      <c r="AE26" s="43"/>
      <c r="AF26" s="46"/>
      <c r="AG26" s="47"/>
      <c r="AH26" s="48"/>
      <c r="AI26" s="43"/>
      <c r="AJ26" s="46"/>
      <c r="AK26" s="47"/>
    </row>
    <row r="27" spans="1:37" x14ac:dyDescent="0.35">
      <c r="A27" s="33">
        <v>26</v>
      </c>
      <c r="B27" s="34">
        <v>32059</v>
      </c>
      <c r="C27" s="35" t="s">
        <v>104</v>
      </c>
      <c r="D27" s="36" t="s">
        <v>105</v>
      </c>
      <c r="E27" s="62" t="s">
        <v>36</v>
      </c>
      <c r="F27" s="60" t="s">
        <v>36</v>
      </c>
      <c r="G27" s="39" t="e">
        <f t="shared" ca="1" si="0"/>
        <v>#VALUE!</v>
      </c>
      <c r="H27" s="40" t="s">
        <v>36</v>
      </c>
      <c r="I27" s="41" t="s">
        <v>36</v>
      </c>
      <c r="J27" s="42">
        <v>390000</v>
      </c>
      <c r="K27" s="61"/>
      <c r="L27" s="43"/>
      <c r="M27" s="63"/>
      <c r="N27" s="48"/>
      <c r="O27" s="49"/>
      <c r="P27" s="46"/>
      <c r="Q27" s="47"/>
      <c r="R27" s="48"/>
      <c r="S27" s="43"/>
      <c r="T27" s="46"/>
      <c r="U27" s="47"/>
      <c r="V27" s="48"/>
      <c r="W27" s="43"/>
      <c r="X27" s="46"/>
      <c r="Y27" s="47"/>
      <c r="Z27" s="48"/>
      <c r="AA27" s="43"/>
      <c r="AB27" s="46"/>
      <c r="AC27" s="47"/>
      <c r="AD27" s="48"/>
      <c r="AE27" s="43"/>
      <c r="AF27" s="46"/>
      <c r="AG27" s="47"/>
      <c r="AH27" s="48"/>
      <c r="AI27" s="43"/>
      <c r="AJ27" s="46"/>
      <c r="AK27" s="47"/>
    </row>
    <row r="28" spans="1:37" x14ac:dyDescent="0.35">
      <c r="A28" s="16">
        <v>27</v>
      </c>
      <c r="B28" s="34">
        <v>34842</v>
      </c>
      <c r="C28" s="64" t="s">
        <v>36</v>
      </c>
      <c r="D28" s="36" t="s">
        <v>106</v>
      </c>
      <c r="E28" s="62" t="s">
        <v>36</v>
      </c>
      <c r="F28" s="60" t="s">
        <v>36</v>
      </c>
      <c r="G28" s="39" t="e">
        <f t="shared" ref="G28:G35" ca="1" si="1">F28-TODAY()</f>
        <v>#VALUE!</v>
      </c>
      <c r="H28" s="40" t="s">
        <v>36</v>
      </c>
      <c r="I28" s="41" t="s">
        <v>36</v>
      </c>
      <c r="J28" s="61"/>
      <c r="K28" s="53" t="s">
        <v>42</v>
      </c>
      <c r="L28" s="43"/>
      <c r="M28" s="63"/>
      <c r="N28" s="48"/>
      <c r="O28" s="49"/>
      <c r="P28" s="46"/>
      <c r="Q28" s="47"/>
      <c r="R28" s="48"/>
      <c r="S28" s="43"/>
      <c r="T28" s="46"/>
      <c r="U28" s="47"/>
      <c r="V28" s="48"/>
      <c r="W28" s="43"/>
      <c r="X28" s="46"/>
      <c r="Y28" s="47"/>
      <c r="Z28" s="48"/>
      <c r="AA28" s="43"/>
      <c r="AB28" s="46"/>
      <c r="AC28" s="47"/>
      <c r="AD28" s="48"/>
      <c r="AE28" s="43"/>
      <c r="AF28" s="46"/>
      <c r="AG28" s="47"/>
      <c r="AH28" s="48"/>
      <c r="AI28" s="43"/>
      <c r="AJ28" s="46"/>
      <c r="AK28" s="47"/>
    </row>
    <row r="29" spans="1:37" x14ac:dyDescent="0.35">
      <c r="A29" s="33">
        <v>28</v>
      </c>
      <c r="B29" s="34">
        <v>11742</v>
      </c>
      <c r="C29" s="64" t="s">
        <v>36</v>
      </c>
      <c r="D29" s="36" t="s">
        <v>107</v>
      </c>
      <c r="E29" s="62" t="s">
        <v>36</v>
      </c>
      <c r="F29" s="60" t="s">
        <v>36</v>
      </c>
      <c r="G29" s="39" t="e">
        <f t="shared" ca="1" si="1"/>
        <v>#VALUE!</v>
      </c>
      <c r="H29" s="48"/>
      <c r="I29" s="65"/>
      <c r="J29" s="65"/>
      <c r="K29" s="41" t="s">
        <v>54</v>
      </c>
      <c r="L29" s="43"/>
      <c r="M29" s="63"/>
      <c r="N29" s="48"/>
      <c r="O29" s="49"/>
      <c r="P29" s="46"/>
      <c r="Q29" s="47"/>
      <c r="R29" s="48"/>
      <c r="S29" s="43"/>
      <c r="T29" s="46"/>
      <c r="U29" s="47"/>
      <c r="V29" s="48"/>
      <c r="W29" s="43"/>
      <c r="X29" s="46"/>
      <c r="Y29" s="47"/>
      <c r="Z29" s="48"/>
      <c r="AA29" s="43"/>
      <c r="AB29" s="46"/>
      <c r="AC29" s="47"/>
      <c r="AD29" s="48"/>
      <c r="AE29" s="43"/>
      <c r="AF29" s="46"/>
      <c r="AG29" s="47"/>
      <c r="AH29" s="48"/>
      <c r="AI29" s="43"/>
      <c r="AJ29" s="46"/>
      <c r="AK29" s="47"/>
    </row>
    <row r="30" spans="1:37" x14ac:dyDescent="0.35">
      <c r="A30" s="16">
        <v>29</v>
      </c>
      <c r="B30" s="34"/>
      <c r="C30" s="52"/>
      <c r="D30" s="66"/>
      <c r="E30" s="43"/>
      <c r="F30" s="67"/>
      <c r="G30" s="39">
        <f t="shared" ca="1" si="1"/>
        <v>-46139</v>
      </c>
      <c r="H30" s="48"/>
      <c r="I30" s="65"/>
      <c r="J30" s="65"/>
      <c r="K30" s="65"/>
      <c r="L30" s="43"/>
      <c r="M30" s="63"/>
      <c r="N30" s="48"/>
      <c r="O30" s="49"/>
      <c r="P30" s="46"/>
      <c r="Q30" s="47"/>
      <c r="R30" s="48"/>
      <c r="S30" s="43"/>
      <c r="T30" s="46"/>
      <c r="U30" s="47"/>
      <c r="V30" s="48"/>
      <c r="W30" s="43"/>
      <c r="X30" s="46"/>
      <c r="Y30" s="47"/>
      <c r="Z30" s="48"/>
      <c r="AA30" s="43"/>
      <c r="AB30" s="46"/>
      <c r="AC30" s="47"/>
      <c r="AD30" s="48"/>
      <c r="AE30" s="43"/>
      <c r="AF30" s="46"/>
      <c r="AG30" s="47"/>
      <c r="AH30" s="48"/>
      <c r="AI30" s="43"/>
      <c r="AJ30" s="46"/>
      <c r="AK30" s="47"/>
    </row>
    <row r="31" spans="1:37" x14ac:dyDescent="0.35">
      <c r="A31" s="33">
        <v>30</v>
      </c>
      <c r="B31" s="68"/>
      <c r="C31" s="48"/>
      <c r="D31" s="66"/>
      <c r="E31" s="43"/>
      <c r="F31" s="67"/>
      <c r="G31" s="39">
        <f t="shared" ca="1" si="1"/>
        <v>-46139</v>
      </c>
      <c r="H31" s="48"/>
      <c r="I31" s="65"/>
      <c r="J31" s="65"/>
      <c r="K31" s="65"/>
      <c r="L31" s="43"/>
      <c r="M31" s="63"/>
      <c r="N31" s="48"/>
      <c r="O31" s="49"/>
      <c r="P31" s="46"/>
      <c r="Q31" s="47"/>
      <c r="R31" s="48"/>
      <c r="S31" s="43"/>
      <c r="T31" s="46"/>
      <c r="U31" s="47"/>
      <c r="V31" s="48"/>
      <c r="W31" s="43"/>
      <c r="X31" s="46"/>
      <c r="Y31" s="47"/>
      <c r="Z31" s="48"/>
      <c r="AA31" s="43"/>
      <c r="AB31" s="46"/>
      <c r="AC31" s="47"/>
      <c r="AD31" s="48"/>
      <c r="AE31" s="43"/>
      <c r="AF31" s="46"/>
      <c r="AG31" s="47"/>
      <c r="AH31" s="48"/>
      <c r="AI31" s="43"/>
      <c r="AJ31" s="46"/>
      <c r="AK31" s="47"/>
    </row>
    <row r="32" spans="1:37" x14ac:dyDescent="0.35">
      <c r="A32" s="16">
        <v>31</v>
      </c>
      <c r="B32" s="68"/>
      <c r="C32" s="48"/>
      <c r="D32" s="66"/>
      <c r="E32" s="43"/>
      <c r="F32" s="67"/>
      <c r="G32" s="39">
        <f t="shared" ca="1" si="1"/>
        <v>-46139</v>
      </c>
      <c r="H32" s="48"/>
      <c r="I32" s="65"/>
      <c r="J32" s="65"/>
      <c r="K32" s="65"/>
      <c r="L32" s="43"/>
      <c r="M32" s="63"/>
      <c r="N32" s="48"/>
      <c r="O32" s="49"/>
      <c r="P32" s="46"/>
      <c r="Q32" s="47"/>
      <c r="R32" s="48"/>
      <c r="S32" s="43"/>
      <c r="T32" s="46"/>
      <c r="U32" s="47"/>
      <c r="V32" s="48"/>
      <c r="W32" s="43"/>
      <c r="X32" s="46"/>
      <c r="Y32" s="47"/>
      <c r="Z32" s="48"/>
      <c r="AA32" s="43"/>
      <c r="AB32" s="46"/>
      <c r="AC32" s="47"/>
      <c r="AD32" s="48"/>
      <c r="AE32" s="43"/>
      <c r="AF32" s="46"/>
      <c r="AG32" s="47"/>
      <c r="AH32" s="48"/>
      <c r="AI32" s="43"/>
      <c r="AJ32" s="46"/>
      <c r="AK32" s="47"/>
    </row>
    <row r="33" spans="1:37" x14ac:dyDescent="0.35">
      <c r="A33" s="33">
        <v>32</v>
      </c>
      <c r="B33" s="68"/>
      <c r="C33" s="48"/>
      <c r="D33" s="66"/>
      <c r="E33" s="43"/>
      <c r="F33" s="67"/>
      <c r="G33" s="39">
        <f t="shared" ca="1" si="1"/>
        <v>-46139</v>
      </c>
      <c r="H33" s="48"/>
      <c r="I33" s="65"/>
      <c r="J33" s="65"/>
      <c r="K33" s="65"/>
      <c r="L33" s="43"/>
      <c r="M33" s="63"/>
      <c r="N33" s="48"/>
      <c r="O33" s="49"/>
      <c r="P33" s="46"/>
      <c r="Q33" s="47"/>
      <c r="R33" s="48"/>
      <c r="S33" s="43"/>
      <c r="T33" s="46"/>
      <c r="U33" s="47"/>
      <c r="V33" s="48"/>
      <c r="W33" s="43"/>
      <c r="X33" s="46"/>
      <c r="Y33" s="47"/>
      <c r="Z33" s="48"/>
      <c r="AA33" s="43"/>
      <c r="AB33" s="46"/>
      <c r="AC33" s="47"/>
      <c r="AD33" s="48"/>
      <c r="AE33" s="43"/>
      <c r="AF33" s="46"/>
      <c r="AG33" s="47"/>
      <c r="AH33" s="48"/>
      <c r="AI33" s="43"/>
      <c r="AJ33" s="46"/>
      <c r="AK33" s="47"/>
    </row>
    <row r="34" spans="1:37" x14ac:dyDescent="0.35">
      <c r="A34" s="16">
        <v>33</v>
      </c>
      <c r="B34" s="68"/>
      <c r="C34" s="48"/>
      <c r="D34" s="66"/>
      <c r="E34" s="43"/>
      <c r="F34" s="67"/>
      <c r="G34" s="39">
        <f t="shared" ca="1" si="1"/>
        <v>-46139</v>
      </c>
      <c r="H34" s="48"/>
      <c r="I34" s="65"/>
      <c r="J34" s="65"/>
      <c r="K34" s="65"/>
      <c r="L34" s="43"/>
      <c r="M34" s="63"/>
      <c r="N34" s="48"/>
      <c r="O34" s="49"/>
      <c r="P34" s="46"/>
      <c r="Q34" s="47"/>
      <c r="R34" s="48"/>
      <c r="S34" s="43"/>
      <c r="T34" s="46"/>
      <c r="U34" s="47"/>
      <c r="V34" s="48"/>
      <c r="W34" s="43"/>
      <c r="X34" s="46"/>
      <c r="Y34" s="47"/>
      <c r="Z34" s="48"/>
      <c r="AA34" s="43"/>
      <c r="AB34" s="46"/>
      <c r="AC34" s="47"/>
      <c r="AD34" s="48"/>
      <c r="AE34" s="43"/>
      <c r="AF34" s="46"/>
      <c r="AG34" s="47"/>
      <c r="AH34" s="48"/>
      <c r="AI34" s="43"/>
      <c r="AJ34" s="46"/>
      <c r="AK34" s="47"/>
    </row>
    <row r="35" spans="1:37" x14ac:dyDescent="0.35">
      <c r="A35" s="33">
        <v>34</v>
      </c>
      <c r="B35" s="69"/>
      <c r="C35" s="70"/>
      <c r="D35" s="71"/>
      <c r="E35" s="72"/>
      <c r="F35" s="73"/>
      <c r="G35" s="74">
        <f t="shared" ca="1" si="1"/>
        <v>-46139</v>
      </c>
      <c r="H35" s="70"/>
      <c r="I35" s="75"/>
      <c r="J35" s="75"/>
      <c r="K35" s="75"/>
      <c r="L35" s="72"/>
      <c r="M35" s="70"/>
      <c r="N35" s="70"/>
      <c r="O35" s="76"/>
      <c r="P35" s="77"/>
      <c r="Q35" s="78"/>
      <c r="R35" s="70"/>
      <c r="S35" s="72"/>
      <c r="T35" s="77"/>
      <c r="U35" s="78"/>
      <c r="V35" s="70"/>
      <c r="W35" s="72"/>
      <c r="X35" s="77"/>
      <c r="Y35" s="78"/>
      <c r="Z35" s="70"/>
      <c r="AA35" s="72"/>
      <c r="AB35" s="77"/>
      <c r="AC35" s="78"/>
      <c r="AD35" s="70"/>
      <c r="AE35" s="72"/>
      <c r="AF35" s="77"/>
      <c r="AG35" s="78"/>
      <c r="AH35" s="70"/>
      <c r="AI35" s="72"/>
      <c r="AJ35" s="77"/>
      <c r="AK35" s="78"/>
    </row>
  </sheetData>
  <autoFilter ref="A1:O35" xr:uid="{00000000-0009-0000-0000-000000000000}">
    <sortState xmlns:xlrd2="http://schemas.microsoft.com/office/spreadsheetml/2017/richdata2" ref="M2:M35">
      <sortCondition sortBy="cellColor" ref="M1:M35" dxfId="4"/>
    </sortState>
  </autoFilter>
  <conditionalFormatting sqref="B1:B35">
    <cfRule type="duplicateValues" dxfId="3" priority="3"/>
  </conditionalFormatting>
  <conditionalFormatting sqref="G2:G35">
    <cfRule type="cellIs" dxfId="2" priority="1" operator="lessThan">
      <formula>60</formula>
    </cfRule>
    <cfRule type="cellIs" dxfId="1" priority="2" operator="greaterThan">
      <formula>60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75E75726D4947B274E2428600C239" ma:contentTypeVersion="8" ma:contentTypeDescription="Create a new document." ma:contentTypeScope="" ma:versionID="23fb8f7af4c89690767e91f6ee5f564e">
  <xsd:schema xmlns:xsd="http://www.w3.org/2001/XMLSchema" xmlns:xs="http://www.w3.org/2001/XMLSchema" xmlns:p="http://schemas.microsoft.com/office/2006/metadata/properties" xmlns:ns3="d1aeb736-dd76-47a0-8358-d172d5a0857c" targetNamespace="http://schemas.microsoft.com/office/2006/metadata/properties" ma:root="true" ma:fieldsID="ad3bbf9e033fad4edfaae6beb5215b7e" ns3:_="">
    <xsd:import namespace="d1aeb736-dd76-47a0-8358-d172d5a085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eb736-dd76-47a0-8358-d172d5a085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aeb736-dd76-47a0-8358-d172d5a085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22CB0-C7B1-441B-BDAA-52F1F8E3FA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eb736-dd76-47a0-8358-d172d5a085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FA05808F-92DC-4BB2-BCE1-432ED4C92364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d1aeb736-dd76-47a0-8358-d172d5a0857c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C4A541A3-6E9A-4A53-AF0B-1491EB7B82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Status'26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AFC Sravani Burra</dc:creator>
  <cp:lastModifiedBy>Jyothsna Vaasudevan</cp:lastModifiedBy>
  <cp:revision>7</cp:revision>
  <dcterms:created xsi:type="dcterms:W3CDTF">2026-01-28T10:34:55Z</dcterms:created>
  <dcterms:modified xsi:type="dcterms:W3CDTF">2026-04-27T05:25:52Z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0x010100C9E75E75726D4947B274E2428600C239</vt:lpwstr>
  </property>
</Properties>
</file>